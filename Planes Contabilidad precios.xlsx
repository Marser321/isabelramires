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90" windowWidth="28455" windowHeight="1225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30" i="1"/>
  <c r="B31" s="1"/>
  <c r="E29"/>
  <c r="E30" s="1"/>
  <c r="E31" s="1"/>
  <c r="D29"/>
  <c r="D30" s="1"/>
  <c r="D31" s="1"/>
  <c r="G28"/>
  <c r="G29" s="1"/>
  <c r="G30" s="1"/>
  <c r="G31" s="1"/>
  <c r="F28"/>
  <c r="F29" s="1"/>
  <c r="F30" s="1"/>
  <c r="F31" s="1"/>
  <c r="E28"/>
  <c r="D28"/>
  <c r="C28"/>
  <c r="C29" s="1"/>
  <c r="C30" s="1"/>
  <c r="C31" s="1"/>
  <c r="B27"/>
  <c r="G21"/>
  <c r="D21"/>
  <c r="C21"/>
  <c r="B21"/>
  <c r="G20"/>
  <c r="F20"/>
  <c r="F21" s="1"/>
  <c r="E20"/>
  <c r="E21" s="1"/>
  <c r="D20"/>
  <c r="C20"/>
  <c r="B11"/>
  <c r="E10"/>
  <c r="E11" s="1"/>
  <c r="D10"/>
  <c r="D11" s="1"/>
  <c r="G9"/>
  <c r="G10" s="1"/>
  <c r="G11" s="1"/>
  <c r="F9"/>
  <c r="F10" s="1"/>
  <c r="F11" s="1"/>
  <c r="E9"/>
  <c r="D9"/>
  <c r="C9"/>
  <c r="C10" s="1"/>
  <c r="C11" s="1"/>
</calcChain>
</file>

<file path=xl/sharedStrings.xml><?xml version="1.0" encoding="utf-8"?>
<sst xmlns="http://schemas.openxmlformats.org/spreadsheetml/2006/main" count="61" uniqueCount="23">
  <si>
    <t>PLANES Y SERVICIOS</t>
  </si>
  <si>
    <t>BOOKEEPING , NOMINA Y PLANIFICACION</t>
  </si>
  <si>
    <t>EMPRESAS TIPO  A (INGRESO REAL $0 - $250k)</t>
  </si>
  <si>
    <t>BOOKKEEPING BASICO</t>
  </si>
  <si>
    <t>BOOKKEEPING BASICO + NOMINA</t>
  </si>
  <si>
    <t>BOOKKEEPING INTERMEDIO</t>
  </si>
  <si>
    <t>BOOKKEEPING INTERMEDIO + NOMINA</t>
  </si>
  <si>
    <t>BOOKKEEPING PREMIUM</t>
  </si>
  <si>
    <t>DESCRIPCION</t>
  </si>
  <si>
    <t>Registros contables, conciliacion bancaria y entrega de Estados Financieros mensual</t>
  </si>
  <si>
    <t>Registros contables, conciliacion bancaria y entrega de Estados Financieros mensual. Nomina de 5 empleados</t>
  </si>
  <si>
    <t>Registros contables, conciliacion bancaria y entrega de Estados Financieros mensual y consultoria 1 vez al mes</t>
  </si>
  <si>
    <t>Registros contables, conciliacion bancaria y entrega de Estados Financieros mensual y consultoria 1 vez al mes. Nomina de 5 empleados</t>
  </si>
  <si>
    <t xml:space="preserve">Registros contables, conciliacion bancaria y entrega de Estados Financieros mensual, consultoria 1 vez al mes y planificacion cada 3 meses </t>
  </si>
  <si>
    <t>Registros contables, conciliacion bancaria, entrega de Estados   Financieros mensual, Nomina de 5 empleados consultoria 1 vez al mes  planificacion cada 3 meses.</t>
  </si>
  <si>
    <t>VALOR DIA</t>
  </si>
  <si>
    <t>VALOR SEMANAL</t>
  </si>
  <si>
    <t>VALOR MENSUAL</t>
  </si>
  <si>
    <t>VALOR TRIMESTRAL</t>
  </si>
  <si>
    <t>VALOR ANNUAL</t>
  </si>
  <si>
    <t>EMPRESAS TIPO  B (INGRESO REAL $250 K - $500k)</t>
  </si>
  <si>
    <t>BOOKKEEPING PREMIUM + NOMINA</t>
  </si>
  <si>
    <t>EMPRESAS TIPO  C (INGRESO REAL $500 K - $1M)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</si>
</sst>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D7D31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AFABAB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 applyAlignment="1">
      <alignment horizontal="center" wrapText="1"/>
    </xf>
    <xf numFmtId="44" fontId="3" fillId="0" borderId="0" xfId="1" applyFont="1" applyFill="1" applyBorder="1" applyAlignment="1">
      <alignment horizontal="center" wrapText="1"/>
    </xf>
    <xf numFmtId="44" fontId="3" fillId="0" borderId="0" xfId="1" applyFont="1" applyBorder="1" applyAlignment="1">
      <alignment horizontal="center" wrapText="1"/>
    </xf>
    <xf numFmtId="44" fontId="3" fillId="0" borderId="0" xfId="1" applyFont="1" applyFill="1" applyBorder="1"/>
    <xf numFmtId="44" fontId="3" fillId="0" borderId="0" xfId="1" applyFont="1" applyBorder="1"/>
    <xf numFmtId="44" fontId="3" fillId="0" borderId="0" xfId="1" applyFont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3" fillId="0" borderId="0" xfId="0" applyFont="1" applyBorder="1"/>
    <xf numFmtId="44" fontId="3" fillId="0" borderId="0" xfId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>
      <selection activeCell="A37" sqref="A37:XFD37"/>
    </sheetView>
  </sheetViews>
  <sheetFormatPr defaultRowHeight="15"/>
  <cols>
    <col min="1" max="1" width="18.5703125" bestFit="1" customWidth="1"/>
    <col min="2" max="2" width="21.140625" bestFit="1" customWidth="1"/>
    <col min="3" max="3" width="31.42578125" bestFit="1" customWidth="1"/>
    <col min="4" max="4" width="26.140625" bestFit="1" customWidth="1"/>
    <col min="5" max="5" width="36.28515625" bestFit="1" customWidth="1"/>
    <col min="6" max="6" width="23.7109375" bestFit="1" customWidth="1"/>
    <col min="7" max="7" width="34" bestFit="1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/>
      <c r="B2" s="2"/>
      <c r="C2" s="2"/>
      <c r="D2" s="2"/>
      <c r="E2" s="2"/>
      <c r="F2" s="2"/>
      <c r="G2" s="2"/>
    </row>
    <row r="3" spans="1:7">
      <c r="A3" s="3" t="s">
        <v>1</v>
      </c>
      <c r="B3" s="3"/>
      <c r="C3" s="3"/>
      <c r="D3" s="3"/>
      <c r="E3" s="3"/>
      <c r="F3" s="3"/>
      <c r="G3" s="3"/>
    </row>
    <row r="4" spans="1:7">
      <c r="A4" s="3" t="s">
        <v>2</v>
      </c>
      <c r="B4" s="3"/>
      <c r="C4" s="3"/>
      <c r="D4" s="3"/>
      <c r="E4" s="3"/>
      <c r="F4" s="3"/>
      <c r="G4" s="3"/>
    </row>
    <row r="5" spans="1:7">
      <c r="A5" s="4"/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7</v>
      </c>
    </row>
    <row r="6" spans="1:7" ht="105">
      <c r="A6" s="5" t="s">
        <v>8</v>
      </c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</row>
    <row r="7" spans="1:7">
      <c r="A7" s="5" t="s">
        <v>15</v>
      </c>
      <c r="B7" s="7">
        <v>20</v>
      </c>
      <c r="C7" s="8">
        <v>30</v>
      </c>
      <c r="D7" s="9">
        <v>40</v>
      </c>
      <c r="E7" s="10">
        <v>50</v>
      </c>
      <c r="F7" s="10">
        <v>90</v>
      </c>
      <c r="G7" s="10">
        <v>100</v>
      </c>
    </row>
    <row r="8" spans="1:7">
      <c r="A8" s="5" t="s">
        <v>16</v>
      </c>
      <c r="B8" s="7">
        <v>100</v>
      </c>
      <c r="C8" s="8">
        <v>150</v>
      </c>
      <c r="D8" s="10">
        <v>200</v>
      </c>
      <c r="E8" s="10">
        <v>250</v>
      </c>
      <c r="F8" s="10">
        <v>450</v>
      </c>
      <c r="G8" s="10">
        <v>500</v>
      </c>
    </row>
    <row r="9" spans="1:7">
      <c r="A9" s="5" t="s">
        <v>17</v>
      </c>
      <c r="B9" s="7">
        <v>400</v>
      </c>
      <c r="C9" s="8">
        <f>150*4</f>
        <v>600</v>
      </c>
      <c r="D9" s="8">
        <f>200*4</f>
        <v>800</v>
      </c>
      <c r="E9" s="8">
        <f>250*4</f>
        <v>1000</v>
      </c>
      <c r="F9" s="8">
        <f>450*4</f>
        <v>1800</v>
      </c>
      <c r="G9" s="8">
        <f>500*4</f>
        <v>2000</v>
      </c>
    </row>
    <row r="10" spans="1:7">
      <c r="A10" s="5" t="s">
        <v>18</v>
      </c>
      <c r="B10" s="7">
        <v>1200</v>
      </c>
      <c r="C10" s="8">
        <f>+C9*3</f>
        <v>1800</v>
      </c>
      <c r="D10" s="8">
        <f>+D9*3</f>
        <v>2400</v>
      </c>
      <c r="E10" s="8">
        <f>+E9*3</f>
        <v>3000</v>
      </c>
      <c r="F10" s="8">
        <f>+F9*3</f>
        <v>5400</v>
      </c>
      <c r="G10" s="8">
        <f>+G9*3</f>
        <v>6000</v>
      </c>
    </row>
    <row r="11" spans="1:7">
      <c r="A11" s="5" t="s">
        <v>19</v>
      </c>
      <c r="B11" s="11">
        <f>+B10*4</f>
        <v>4800</v>
      </c>
      <c r="C11" s="11">
        <f t="shared" ref="C11:G11" si="0">+C10*4</f>
        <v>7200</v>
      </c>
      <c r="D11" s="11">
        <f t="shared" si="0"/>
        <v>9600</v>
      </c>
      <c r="E11" s="11">
        <f t="shared" si="0"/>
        <v>12000</v>
      </c>
      <c r="F11" s="11">
        <f t="shared" si="0"/>
        <v>21600</v>
      </c>
      <c r="G11" s="11">
        <f t="shared" si="0"/>
        <v>24000</v>
      </c>
    </row>
    <row r="12" spans="1:7">
      <c r="A12" s="2"/>
      <c r="B12" s="2"/>
      <c r="C12" s="2"/>
      <c r="D12" s="2"/>
      <c r="E12" s="2"/>
      <c r="F12" s="2"/>
      <c r="G12" s="2"/>
    </row>
    <row r="13" spans="1:7">
      <c r="A13" s="3" t="s">
        <v>1</v>
      </c>
      <c r="B13" s="3"/>
      <c r="C13" s="3"/>
      <c r="D13" s="3"/>
      <c r="E13" s="3"/>
      <c r="F13" s="3"/>
      <c r="G13" s="3"/>
    </row>
    <row r="14" spans="1:7">
      <c r="A14" s="3" t="s">
        <v>20</v>
      </c>
      <c r="B14" s="3"/>
      <c r="C14" s="3"/>
      <c r="D14" s="3"/>
      <c r="E14" s="3"/>
      <c r="F14" s="3"/>
      <c r="G14" s="3"/>
    </row>
    <row r="15" spans="1:7">
      <c r="A15" s="4"/>
      <c r="B15" s="12" t="s">
        <v>3</v>
      </c>
      <c r="C15" s="13" t="s">
        <v>4</v>
      </c>
      <c r="D15" s="12" t="s">
        <v>5</v>
      </c>
      <c r="E15" s="13" t="s">
        <v>6</v>
      </c>
      <c r="F15" s="12" t="s">
        <v>7</v>
      </c>
      <c r="G15" s="13" t="s">
        <v>21</v>
      </c>
    </row>
    <row r="16" spans="1:7" ht="105">
      <c r="A16" s="5" t="s">
        <v>8</v>
      </c>
      <c r="B16" s="6" t="s">
        <v>9</v>
      </c>
      <c r="C16" s="6" t="s">
        <v>10</v>
      </c>
      <c r="D16" s="6" t="s">
        <v>11</v>
      </c>
      <c r="E16" s="6" t="s">
        <v>12</v>
      </c>
      <c r="F16" s="6" t="s">
        <v>13</v>
      </c>
      <c r="G16" s="6" t="s">
        <v>14</v>
      </c>
    </row>
    <row r="17" spans="1:7">
      <c r="A17" s="5" t="s">
        <v>15</v>
      </c>
      <c r="B17" s="7">
        <v>30</v>
      </c>
      <c r="C17" s="8">
        <v>40</v>
      </c>
      <c r="D17" s="9">
        <v>50</v>
      </c>
      <c r="E17" s="10">
        <v>60</v>
      </c>
      <c r="F17" s="10">
        <v>100</v>
      </c>
      <c r="G17" s="10">
        <v>110</v>
      </c>
    </row>
    <row r="18" spans="1:7">
      <c r="A18" s="5" t="s">
        <v>16</v>
      </c>
      <c r="B18" s="7">
        <v>150</v>
      </c>
      <c r="C18" s="8">
        <v>200</v>
      </c>
      <c r="D18" s="10">
        <v>250</v>
      </c>
      <c r="E18" s="10">
        <v>300</v>
      </c>
      <c r="F18" s="10">
        <v>500</v>
      </c>
      <c r="G18" s="10">
        <v>550</v>
      </c>
    </row>
    <row r="19" spans="1:7">
      <c r="A19" s="5" t="s">
        <v>17</v>
      </c>
      <c r="B19" s="7">
        <v>600</v>
      </c>
      <c r="C19" s="8">
        <v>800</v>
      </c>
      <c r="D19" s="8">
        <v>1000</v>
      </c>
      <c r="E19" s="8">
        <v>1200</v>
      </c>
      <c r="F19" s="8">
        <v>2000</v>
      </c>
      <c r="G19" s="8">
        <v>2100</v>
      </c>
    </row>
    <row r="20" spans="1:7">
      <c r="A20" s="5" t="s">
        <v>18</v>
      </c>
      <c r="B20" s="7">
        <v>1800</v>
      </c>
      <c r="C20" s="8">
        <f>+C19*3</f>
        <v>2400</v>
      </c>
      <c r="D20" s="8">
        <f>+D19*3</f>
        <v>3000</v>
      </c>
      <c r="E20" s="8">
        <f>+E19*3</f>
        <v>3600</v>
      </c>
      <c r="F20" s="8">
        <f>+F19*3</f>
        <v>6000</v>
      </c>
      <c r="G20" s="8">
        <f>+G19*3</f>
        <v>6300</v>
      </c>
    </row>
    <row r="21" spans="1:7">
      <c r="A21" s="5" t="s">
        <v>19</v>
      </c>
      <c r="B21" s="11">
        <f>+B20*4</f>
        <v>7200</v>
      </c>
      <c r="C21" s="11">
        <f t="shared" ref="C21:G21" si="1">+C20*4</f>
        <v>9600</v>
      </c>
      <c r="D21" s="11">
        <f t="shared" si="1"/>
        <v>12000</v>
      </c>
      <c r="E21" s="11">
        <f t="shared" si="1"/>
        <v>14400</v>
      </c>
      <c r="F21" s="11">
        <f t="shared" si="1"/>
        <v>24000</v>
      </c>
      <c r="G21" s="11">
        <f t="shared" si="1"/>
        <v>25200</v>
      </c>
    </row>
    <row r="22" spans="1:7">
      <c r="A22" s="14"/>
      <c r="B22" s="4"/>
      <c r="C22" s="4"/>
      <c r="D22" s="14"/>
      <c r="E22" s="14"/>
      <c r="F22" s="14"/>
      <c r="G22" s="14"/>
    </row>
    <row r="23" spans="1:7">
      <c r="A23" s="3" t="s">
        <v>1</v>
      </c>
      <c r="B23" s="3"/>
      <c r="C23" s="3"/>
      <c r="D23" s="3"/>
      <c r="E23" s="3"/>
      <c r="F23" s="3"/>
      <c r="G23" s="3"/>
    </row>
    <row r="24" spans="1:7">
      <c r="A24" s="3" t="s">
        <v>22</v>
      </c>
      <c r="B24" s="3"/>
      <c r="C24" s="3"/>
      <c r="D24" s="3"/>
      <c r="E24" s="3"/>
      <c r="F24" s="3"/>
      <c r="G24" s="3"/>
    </row>
    <row r="25" spans="1:7">
      <c r="A25" s="4"/>
      <c r="B25" s="2" t="s">
        <v>3</v>
      </c>
      <c r="C25" s="2" t="s">
        <v>4</v>
      </c>
      <c r="D25" s="2" t="s">
        <v>5</v>
      </c>
      <c r="E25" s="2" t="s">
        <v>6</v>
      </c>
      <c r="F25" s="2" t="s">
        <v>7</v>
      </c>
      <c r="G25" s="2" t="s">
        <v>7</v>
      </c>
    </row>
    <row r="26" spans="1:7" ht="105">
      <c r="A26" s="5" t="s">
        <v>8</v>
      </c>
      <c r="B26" s="6" t="s">
        <v>9</v>
      </c>
      <c r="C26" s="6" t="s">
        <v>10</v>
      </c>
      <c r="D26" s="6" t="s">
        <v>11</v>
      </c>
      <c r="E26" s="6" t="s">
        <v>12</v>
      </c>
      <c r="F26" s="6" t="s">
        <v>13</v>
      </c>
      <c r="G26" s="6" t="s">
        <v>14</v>
      </c>
    </row>
    <row r="27" spans="1:7">
      <c r="A27" s="5" t="s">
        <v>15</v>
      </c>
      <c r="B27" s="7">
        <f>+B28/5</f>
        <v>80</v>
      </c>
      <c r="C27" s="8">
        <v>90</v>
      </c>
      <c r="D27" s="9">
        <v>100</v>
      </c>
      <c r="E27" s="10">
        <v>110</v>
      </c>
      <c r="F27" s="10">
        <v>150</v>
      </c>
      <c r="G27" s="10">
        <v>160</v>
      </c>
    </row>
    <row r="28" spans="1:7">
      <c r="A28" s="5" t="s">
        <v>16</v>
      </c>
      <c r="B28" s="7">
        <v>400</v>
      </c>
      <c r="C28" s="8">
        <f>+C27*5</f>
        <v>450</v>
      </c>
      <c r="D28" s="10">
        <f>+D27*5</f>
        <v>500</v>
      </c>
      <c r="E28" s="10">
        <f>+E27*5</f>
        <v>550</v>
      </c>
      <c r="F28" s="10">
        <f>+F27*5</f>
        <v>750</v>
      </c>
      <c r="G28" s="10">
        <f>+G27*5</f>
        <v>800</v>
      </c>
    </row>
    <row r="29" spans="1:7">
      <c r="A29" s="5" t="s">
        <v>17</v>
      </c>
      <c r="B29" s="7">
        <v>1600</v>
      </c>
      <c r="C29" s="8">
        <f>+C28*4</f>
        <v>1800</v>
      </c>
      <c r="D29" s="8">
        <f>+D28*4</f>
        <v>2000</v>
      </c>
      <c r="E29" s="8">
        <f>+E28*4</f>
        <v>2200</v>
      </c>
      <c r="F29" s="8">
        <f>+F28*4</f>
        <v>3000</v>
      </c>
      <c r="G29" s="8">
        <f>+G28*4</f>
        <v>3200</v>
      </c>
    </row>
    <row r="30" spans="1:7">
      <c r="A30" s="5" t="s">
        <v>18</v>
      </c>
      <c r="B30" s="7">
        <f t="shared" ref="B30:G30" si="2">+B29*3</f>
        <v>4800</v>
      </c>
      <c r="C30" s="8">
        <f t="shared" si="2"/>
        <v>5400</v>
      </c>
      <c r="D30" s="8">
        <f t="shared" si="2"/>
        <v>6000</v>
      </c>
      <c r="E30" s="8">
        <f t="shared" si="2"/>
        <v>6600</v>
      </c>
      <c r="F30" s="8">
        <f t="shared" si="2"/>
        <v>9000</v>
      </c>
      <c r="G30" s="8">
        <f t="shared" si="2"/>
        <v>9600</v>
      </c>
    </row>
    <row r="31" spans="1:7">
      <c r="A31" s="5" t="s">
        <v>19</v>
      </c>
      <c r="B31" s="15">
        <f>+B30*4</f>
        <v>19200</v>
      </c>
      <c r="C31" s="11">
        <f t="shared" ref="C31:G31" si="3">+C30*4</f>
        <v>21600</v>
      </c>
      <c r="D31" s="11">
        <f t="shared" si="3"/>
        <v>24000</v>
      </c>
      <c r="E31" s="11">
        <f t="shared" si="3"/>
        <v>26400</v>
      </c>
      <c r="F31" s="11">
        <f t="shared" si="3"/>
        <v>36000</v>
      </c>
      <c r="G31" s="11">
        <f t="shared" si="3"/>
        <v>38400</v>
      </c>
    </row>
  </sheetData>
  <mergeCells count="7">
    <mergeCell ref="A24:G24"/>
    <mergeCell ref="A1:G1"/>
    <mergeCell ref="A3:G3"/>
    <mergeCell ref="A4:G4"/>
    <mergeCell ref="A13:G13"/>
    <mergeCell ref="A14:G14"/>
    <mergeCell ref="A23:G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14076682172</dc:creator>
  <cp:lastModifiedBy>14076682172</cp:lastModifiedBy>
  <dcterms:created xsi:type="dcterms:W3CDTF">2026-06-29T19:58:01Z</dcterms:created>
  <dcterms:modified xsi:type="dcterms:W3CDTF">2026-06-29T20:00:10Z</dcterms:modified>
</cp:coreProperties>
</file>